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Feedba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isu-sjd-457</t>
        </is>
      </c>
      <c r="B2" s="1" t="n">
        <v>44427.69841435185</v>
      </c>
      <c r="C2" s="1" t="n">
        <v>44430.52328703704</v>
      </c>
      <c r="D2" t="inlineStr">
        <is>
          <t>wrqy-juv-978</t>
        </is>
      </c>
      <c r="E2" t="inlineStr">
        <is>
          <t>vew-iuvd-12</t>
        </is>
      </c>
    </row>
    <row r="3">
      <c r="A3" t="inlineStr">
        <is>
          <t>qer-fal-092</t>
        </is>
      </c>
      <c r="B3" s="1" t="n">
        <v>44429.46483796297</v>
      </c>
      <c r="C3" s="1" t="n">
        <v>44429.71788194445</v>
      </c>
      <c r="D3" t="inlineStr">
        <is>
          <t>8woh-k3u-23b</t>
        </is>
      </c>
      <c r="E3" t="inlineStr">
        <is>
          <t>cms-xy1-99</t>
        </is>
      </c>
    </row>
    <row r="4">
      <c r="A4" t="inlineStr">
        <is>
          <t>abc-123-000</t>
        </is>
      </c>
      <c r="B4" s="1" t="n">
        <v>44429.375</v>
      </c>
      <c r="C4" s="1" t="n">
        <v>44429.39930555555</v>
      </c>
      <c r="D4" t="inlineStr">
        <is>
          <t>wrqy-juv-978</t>
        </is>
      </c>
      <c r="E4" t="inlineStr">
        <is>
          <t>cms-xy1-98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s="1" t="n">
        <v>44429.56027777777</v>
      </c>
      <c r="C2" t="n">
        <v>3</v>
      </c>
      <c r="D2">
        <f>IFERROR(INDEX(Tickets!$B:$B, MATCH(A2, Tickets!$E:$E, 0)), "")</f>
        <v/>
      </c>
    </row>
    <row r="3">
      <c r="A3" t="inlineStr">
        <is>
          <t>cms-xy1-99</t>
        </is>
      </c>
      <c r="B3" s="1" t="n">
        <v>44429.625</v>
      </c>
      <c r="C3" t="n">
        <v>4</v>
      </c>
      <c r="D3">
        <f>IFERROR(INDEX(Tickets!$B:$B, MATCH(A3, Tickets!$E:$E, 0)), "")</f>
        <v/>
      </c>
    </row>
    <row r="4">
      <c r="A4" t="inlineStr">
        <is>
          <t>cms-xy1-98</t>
        </is>
      </c>
      <c r="B4" s="1" t="n">
        <v>44429.42708333334</v>
      </c>
      <c r="C4" t="n">
        <v>5</v>
      </c>
      <c r="D4">
        <f>IFERROR(INDEX(Tickets!$B:$B, MATCH(A4, Tickets!$E:$E, 0)), 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outlet_id</t>
        </is>
      </c>
      <c r="B1" t="inlineStr">
        <is>
          <t>same_day_count</t>
        </is>
      </c>
      <c r="C1" t="inlineStr">
        <is>
          <t>same_hour_count</t>
        </is>
      </c>
    </row>
    <row r="2">
      <c r="A2" t="inlineStr">
        <is>
          <t>wrqy-juv-978</t>
        </is>
      </c>
      <c r="B2">
        <f>SUMPRODUCT((Tickets!$D$2:$D$1000=A2)*(INT(Tickets!$B$2:$B$1000)=INT(Tickets!$C$2:$C$1000)))</f>
        <v/>
      </c>
      <c r="C2">
        <f>SUMPRODUCT((Tickets!$D$2:$D$1000=A2)*(INT(Tickets!$B$2:$B$1000*24)=INT(Tickets!$C$2:$C$1000*24)))</f>
        <v/>
      </c>
    </row>
    <row r="3">
      <c r="A3" t="inlineStr">
        <is>
          <t>8woh-k3u-23b</t>
        </is>
      </c>
      <c r="B3">
        <f>SUMPRODUCT((Tickets!$D$2:$D$1000=A3)*(INT(Tickets!$B$2:$B$1000)=INT(Tickets!$C$2:$C$1000)))</f>
        <v/>
      </c>
      <c r="C3">
        <f>SUMPRODUCT((Tickets!$D$2:$D$1000=A3)*(INT(Tickets!$B$2:$B$1000*24)=INT(Tickets!$C$2:$C$1000*24)))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2026-04-09T09:55:32Z</dcterms:created>
  <dcterms:modified xsi:type="dcterms:W3CDTF">2026-04-09T09:55:32Z</dcterms:modified>
</cp:coreProperties>
</file>